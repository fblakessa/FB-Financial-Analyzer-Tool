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" sheetId="1" state="visible" r:id="rId3"/>
    <sheet name="Income Statement" sheetId="2" state="visible" r:id="rId4"/>
    <sheet name="Refer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<sst xmlns="http://schemas.openxmlformats.org/spreadsheetml/2006/main" count="129" uniqueCount="117">
  <si>
    <t xml:space="preserve">Operator Lens — Input Workbook — Company Details</t>
  </si>
  <si>
    <t xml:space="preserve">How to use this workbook</t>
  </si>
  <si>
    <t xml:space="preserve">•</t>
  </si>
  <si>
    <t xml:space="preserve">Yellow cells with blue text are yours to fill in. Fill in every one.</t>
  </si>
  <si>
    <t xml:space="preserve">Grey cells are calculated. Do not type over a formula — the app will reject the file.</t>
  </si>
  <si>
    <t xml:space="preserve">Column A holds machine codes. Leave them alone; the app reads them.</t>
  </si>
  <si>
    <t xml:space="preserve">Enter all expenses as positive numbers. The formulas handle the signs.</t>
  </si>
  <si>
    <t xml:space="preserve">Enter figures at one scale only, and say which on this sheet (row 14).</t>
  </si>
  <si>
    <t xml:space="preserve">Three period columns are provided. Add more to the right if you have them, up to eight.</t>
  </si>
  <si>
    <t xml:space="preserve">Field code</t>
  </si>
  <si>
    <t xml:space="preserve">Field</t>
  </si>
  <si>
    <t xml:space="preserve">Value</t>
  </si>
  <si>
    <t xml:space="preserve">COMPANY_NAME</t>
  </si>
  <si>
    <t xml:space="preserve">Company name</t>
  </si>
  <si>
    <t xml:space="preserve">Epirote Furs, Inc.</t>
  </si>
  <si>
    <t xml:space="preserve">INDUSTRY_CODE</t>
  </si>
  <si>
    <t xml:space="preserve">Industry</t>
  </si>
  <si>
    <t xml:space="preserve">CONSUMER_RETAIL</t>
  </si>
  <si>
    <t xml:space="preserve">SIZE_BAND</t>
  </si>
  <si>
    <t xml:space="preserve">Size band (annual revenue)</t>
  </si>
  <si>
    <t xml:space="preserve">$25M - $100M</t>
  </si>
  <si>
    <t xml:space="preserve">FISCAL_YEAR_END</t>
  </si>
  <si>
    <t xml:space="preserve">Fiscal year end</t>
  </si>
  <si>
    <t xml:space="preserve">CURRENCY</t>
  </si>
  <si>
    <t xml:space="preserve">Currency</t>
  </si>
  <si>
    <t xml:space="preserve">USD</t>
  </si>
  <si>
    <t xml:space="preserve">UNIT_SCALE</t>
  </si>
  <si>
    <t xml:space="preserve">Figures entered as</t>
  </si>
  <si>
    <t xml:space="preserve">Thousands</t>
  </si>
  <si>
    <t xml:space="preserve">PREPARED_BY</t>
  </si>
  <si>
    <t xml:space="preserve">Prepared by</t>
  </si>
  <si>
    <t xml:space="preserve">A. Consultant</t>
  </si>
  <si>
    <t xml:space="preserve">AS_OF_DATE</t>
  </si>
  <si>
    <t xml:space="preserve">As-of date</t>
  </si>
  <si>
    <t xml:space="preserve">Example: Northwind Analytics, Inc. / SOFTWARE_SAAS / $25M - $100M / 2025-12-31 / USD / Thousands / A. Consultant / 2026-02-14</t>
  </si>
  <si>
    <t xml:space="preserve">Operator Lens — Input Workbook — Income Statement</t>
  </si>
  <si>
    <t xml:space="preserve">Expenses as positive numbers. Grey rows are formulas — do not overwrite them. Period columns must run oldest to newest, left to right.</t>
  </si>
  <si>
    <t xml:space="preserve">Code</t>
  </si>
  <si>
    <t xml:space="preserve">Line item</t>
  </si>
  <si>
    <t xml:space="preserve">Period 1</t>
  </si>
  <si>
    <t xml:space="preserve">Period 2</t>
  </si>
  <si>
    <t xml:space="preserve">Period 3</t>
  </si>
  <si>
    <t xml:space="preserve">PERIOD_LABEL</t>
  </si>
  <si>
    <t xml:space="preserve">Period label</t>
  </si>
  <si>
    <t xml:space="preserve">FY2023</t>
  </si>
  <si>
    <t xml:space="preserve">FY2024</t>
  </si>
  <si>
    <t xml:space="preserve">FY2025</t>
  </si>
  <si>
    <t xml:space="preserve">PERIOD_END</t>
  </si>
  <si>
    <t xml:space="preserve">Period end date</t>
  </si>
  <si>
    <t xml:space="preserve">REVENUE</t>
  </si>
  <si>
    <t xml:space="preserve">Revenue</t>
  </si>
  <si>
    <t xml:space="preserve">COGS</t>
  </si>
  <si>
    <t xml:space="preserve">Cost of Goods Sold</t>
  </si>
  <si>
    <t xml:space="preserve">GROSS_PROFIT</t>
  </si>
  <si>
    <t xml:space="preserve">Gross Profit</t>
  </si>
  <si>
    <t xml:space="preserve">SELLING</t>
  </si>
  <si>
    <t xml:space="preserve">Selling Expense</t>
  </si>
  <si>
    <t xml:space="preserve">G_AND_A</t>
  </si>
  <si>
    <t xml:space="preserve">General &amp; Administrative</t>
  </si>
  <si>
    <t xml:space="preserve">SGA_TOTAL</t>
  </si>
  <si>
    <t xml:space="preserve">SG&amp;A Total</t>
  </si>
  <si>
    <t xml:space="preserve">R_AND_D</t>
  </si>
  <si>
    <t xml:space="preserve">Research &amp; Development</t>
  </si>
  <si>
    <t xml:space="preserve">OTHER_OPEX</t>
  </si>
  <si>
    <t xml:space="preserve">Other Operating Expense</t>
  </si>
  <si>
    <t xml:space="preserve">EBITDA</t>
  </si>
  <si>
    <t xml:space="preserve">D_AND_A</t>
  </si>
  <si>
    <t xml:space="preserve">Depreciation &amp; Amortisation</t>
  </si>
  <si>
    <t xml:space="preserve">EBIT</t>
  </si>
  <si>
    <t xml:space="preserve">EBIT (Operating Income)</t>
  </si>
  <si>
    <t xml:space="preserve">INTEREST</t>
  </si>
  <si>
    <t xml:space="preserve">Interest Expense</t>
  </si>
  <si>
    <t xml:space="preserve">OTHER_INCOME</t>
  </si>
  <si>
    <t xml:space="preserve">Other Income / (Expense)</t>
  </si>
  <si>
    <t xml:space="preserve">PRETAX_INCOME</t>
  </si>
  <si>
    <t xml:space="preserve">Pre-tax Income</t>
  </si>
  <si>
    <t xml:space="preserve">INCOME_TAX</t>
  </si>
  <si>
    <t xml:space="preserve">Income Tax</t>
  </si>
  <si>
    <t xml:space="preserve">NET_INCOME</t>
  </si>
  <si>
    <t xml:space="preserve">Net Income</t>
  </si>
  <si>
    <t xml:space="preserve">Source of figures:</t>
  </si>
  <si>
    <t xml:space="preserve">Synthetic demo data. Not a real company. Built to exercise the trend and benchmark rules.</t>
  </si>
  <si>
    <t xml:space="preserve">Scale:</t>
  </si>
  <si>
    <t xml:space="preserve">As declared in Company!C14. Every figure on this sheet uses it.</t>
  </si>
  <si>
    <t xml:space="preserve">Reference lists — do not edit</t>
  </si>
  <si>
    <t xml:space="preserve">These lists drive the dropdowns on the Company sheet and must stay in step with the seeded benchmark table. Adding a value here that has no benchmark row will cause upload to fail.</t>
  </si>
  <si>
    <t xml:space="preserve">Industry code</t>
  </si>
  <si>
    <t xml:space="preserve">Industry name</t>
  </si>
  <si>
    <t xml:space="preserve">Size band</t>
  </si>
  <si>
    <t xml:space="preserve">Unit scale</t>
  </si>
  <si>
    <t xml:space="preserve">SOFTWARE_SAAS</t>
  </si>
  <si>
    <t xml:space="preserve">Software &amp; SaaS</t>
  </si>
  <si>
    <t xml:space="preserve">Under $25M</t>
  </si>
  <si>
    <t xml:space="preserve">Actuals</t>
  </si>
  <si>
    <t xml:space="preserve">IT_SERVICES</t>
  </si>
  <si>
    <t xml:space="preserve">IT Services</t>
  </si>
  <si>
    <t xml:space="preserve">SPECIALTY_MFG</t>
  </si>
  <si>
    <t xml:space="preserve">Specialty Manufacturing</t>
  </si>
  <si>
    <t xml:space="preserve">$100M - $500M</t>
  </si>
  <si>
    <t xml:space="preserve">Millions</t>
  </si>
  <si>
    <t xml:space="preserve">INDUSTRIAL_DIST</t>
  </si>
  <si>
    <t xml:space="preserve">Industrial Distribution</t>
  </si>
  <si>
    <t xml:space="preserve">Over $500M</t>
  </si>
  <si>
    <t xml:space="preserve">BUILDING_PRODUCTS</t>
  </si>
  <si>
    <t xml:space="preserve">Building Products &amp; Lumber</t>
  </si>
  <si>
    <t xml:space="preserve">FOOD_BEVERAGE</t>
  </si>
  <si>
    <t xml:space="preserve">Food &amp; Beverage Manufacturing</t>
  </si>
  <si>
    <t xml:space="preserve">HEALTHCARE_SERVICES</t>
  </si>
  <si>
    <t xml:space="preserve">Healthcare Services</t>
  </si>
  <si>
    <t xml:space="preserve">BUSINESS_SERVICES</t>
  </si>
  <si>
    <t xml:space="preserve">Business &amp; Professional Services</t>
  </si>
  <si>
    <t xml:space="preserve">Consumer Retail</t>
  </si>
  <si>
    <t xml:space="preserve">TRANSPORT_LOGISTICS</t>
  </si>
  <si>
    <t xml:space="preserve">Transportation &amp; Logistics</t>
  </si>
  <si>
    <t xml:space="preserve">Assumption:</t>
  </si>
  <si>
    <t xml:space="preserve">Industry taxonomy is provisional and internal to SSA, not NAICS or SIC. Final taxonomy is tracked as a GitHub issue; changing it changes every benchmark join.</t>
  </si>
  <si>
    <t xml:space="preserve">Size bands are annual revenue in USD and must match the size bands used when the benchmark percentiles were computed.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</si>
</sst>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;\(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339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8"/>
      <color rgb="FF999999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5F7FA"/>
        <bgColor rgb="FFFFFFFF"/>
      </patternFill>
    </fill>
    <fill>
      <patternFill patternType="solid">
        <fgColor rgb="FF003399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EEEE"/>
        <bgColor rgb="FFF5F7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thin">
        <color rgb="FF0033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7FA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9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3" min="3" style="0" width="3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4"/>
      <c r="D4" s="4"/>
      <c r="E4" s="4"/>
    </row>
    <row r="5" customFormat="false" ht="15" hidden="false" customHeight="false" outlineLevel="0" collapsed="false">
      <c r="A5" s="3" t="s">
        <v>2</v>
      </c>
      <c r="B5" s="3" t="s">
        <v>4</v>
      </c>
      <c r="C5" s="4"/>
      <c r="D5" s="4"/>
      <c r="E5" s="4"/>
    </row>
    <row r="6" customFormat="false" ht="15" hidden="false" customHeight="false" outlineLevel="0" collapsed="false">
      <c r="A6" s="3" t="s">
        <v>2</v>
      </c>
      <c r="B6" s="3" t="s">
        <v>5</v>
      </c>
      <c r="C6" s="4"/>
      <c r="D6" s="4"/>
      <c r="E6" s="4"/>
    </row>
    <row r="7" customFormat="false" ht="15" hidden="false" customHeight="false" outlineLevel="0" collapsed="false">
      <c r="A7" s="3" t="s">
        <v>2</v>
      </c>
      <c r="B7" s="3" t="s">
        <v>6</v>
      </c>
      <c r="C7" s="4"/>
      <c r="D7" s="4"/>
      <c r="E7" s="4"/>
    </row>
    <row r="8" customFormat="false" ht="15" hidden="false" customHeight="false" outlineLevel="0" collapsed="false">
      <c r="A8" s="3" t="s">
        <v>2</v>
      </c>
      <c r="B8" s="3" t="s">
        <v>7</v>
      </c>
      <c r="C8" s="4"/>
      <c r="D8" s="4"/>
      <c r="E8" s="4"/>
    </row>
    <row r="9" customFormat="false" ht="15" hidden="false" customHeight="false" outlineLevel="0" collapsed="false">
      <c r="A9" s="3" t="s">
        <v>2</v>
      </c>
      <c r="B9" s="3" t="s">
        <v>8</v>
      </c>
      <c r="C9" s="4"/>
      <c r="D9" s="4"/>
      <c r="E9" s="4"/>
    </row>
    <row r="11" customFormat="false" ht="15" hidden="false" customHeight="false" outlineLevel="0" collapsed="false">
      <c r="A11" s="5" t="s">
        <v>9</v>
      </c>
      <c r="B11" s="5" t="s">
        <v>10</v>
      </c>
      <c r="C11" s="5" t="s">
        <v>11</v>
      </c>
    </row>
    <row r="12" customFormat="false" ht="15" hidden="false" customHeight="false" outlineLevel="0" collapsed="false">
      <c r="A12" s="6" t="s">
        <v>12</v>
      </c>
      <c r="B12" s="7" t="s">
        <v>13</v>
      </c>
      <c r="C12" s="8" t="s">
        <v>14</v>
      </c>
    </row>
    <row r="13" customFormat="false" ht="15" hidden="false" customHeight="false" outlineLevel="0" collapsed="false">
      <c r="A13" s="6" t="s">
        <v>15</v>
      </c>
      <c r="B13" s="7" t="s">
        <v>16</v>
      </c>
      <c r="C13" s="8" t="s">
        <v>17</v>
      </c>
    </row>
    <row r="14" customFormat="false" ht="15" hidden="false" customHeight="false" outlineLevel="0" collapsed="false">
      <c r="A14" s="6" t="s">
        <v>18</v>
      </c>
      <c r="B14" s="7" t="s">
        <v>19</v>
      </c>
      <c r="C14" s="8" t="s">
        <v>20</v>
      </c>
    </row>
    <row r="15" customFormat="false" ht="15" hidden="false" customHeight="false" outlineLevel="0" collapsed="false">
      <c r="A15" s="6" t="s">
        <v>21</v>
      </c>
      <c r="B15" s="7" t="s">
        <v>22</v>
      </c>
      <c r="C15" s="9" t="n">
        <v>46022</v>
      </c>
    </row>
    <row r="16" customFormat="false" ht="15" hidden="false" customHeight="false" outlineLevel="0" collapsed="false">
      <c r="A16" s="6" t="s">
        <v>23</v>
      </c>
      <c r="B16" s="7" t="s">
        <v>24</v>
      </c>
      <c r="C16" s="8" t="s">
        <v>25</v>
      </c>
    </row>
    <row r="17" customFormat="false" ht="15" hidden="false" customHeight="false" outlineLevel="0" collapsed="false">
      <c r="A17" s="6" t="s">
        <v>26</v>
      </c>
      <c r="B17" s="7" t="s">
        <v>27</v>
      </c>
      <c r="C17" s="8" t="s">
        <v>28</v>
      </c>
    </row>
    <row r="18" customFormat="false" ht="15" hidden="false" customHeight="false" outlineLevel="0" collapsed="false">
      <c r="A18" s="6" t="s">
        <v>29</v>
      </c>
      <c r="B18" s="7" t="s">
        <v>30</v>
      </c>
      <c r="C18" s="8" t="s">
        <v>31</v>
      </c>
    </row>
    <row r="19" customFormat="false" ht="15" hidden="false" customHeight="false" outlineLevel="0" collapsed="false">
      <c r="A19" s="6" t="s">
        <v>32</v>
      </c>
      <c r="B19" s="7" t="s">
        <v>33</v>
      </c>
      <c r="C19" s="9" t="n">
        <v>46067</v>
      </c>
    </row>
    <row r="21" customFormat="false" ht="15" hidden="false" customHeight="false" outlineLevel="0" collapsed="false">
      <c r="B21" s="10" t="s">
        <v>34</v>
      </c>
    </row>
  </sheetData>
  <dataValidations count="4">
    <dataValidation allowBlank="false" errorStyle="stop" operator="between" showDropDown="false" showErrorMessage="false" showInputMessage="false" sqref="C13" type="list">
      <formula1>Reference!$A$5:$A$14</formula1>
      <formula2>0</formula2>
    </dataValidation>
    <dataValidation allowBlank="false" errorStyle="stop" operator="between" showDropDown="false" showErrorMessage="false" showInputMessage="false" sqref="C14" type="list">
      <formula1>Reference!$D$5:$D$8</formula1>
      <formula2>0</formula2>
    </dataValidation>
    <dataValidation allowBlank="false" errorStyle="stop" operator="between" showDropDown="false" showErrorMessage="false" showInputMessage="false" sqref="C16" type="list">
      <formula1>Reference!$F$5:$F$5</formula1>
      <formula2>0</formula2>
    </dataValidation>
    <dataValidation allowBlank="false" errorStyle="stop" operator="between" showDropDown="false" showErrorMessage="false" showInputMessage="false" sqref="C17" type="list">
      <formula1>Reference!$H$5:$H$7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10" t="s">
        <v>36</v>
      </c>
    </row>
    <row r="4" customFormat="false" ht="15" hidden="false" customHeight="false" outlineLevel="0" collapsed="false">
      <c r="A4" s="11" t="s">
        <v>37</v>
      </c>
      <c r="B4" s="11" t="s">
        <v>38</v>
      </c>
      <c r="C4" s="12" t="s">
        <v>39</v>
      </c>
      <c r="D4" s="12" t="s">
        <v>40</v>
      </c>
      <c r="E4" s="12" t="s">
        <v>41</v>
      </c>
    </row>
    <row r="5" customFormat="false" ht="15" hidden="false" customHeight="false" outlineLevel="0" collapsed="false">
      <c r="A5" s="6" t="s">
        <v>42</v>
      </c>
      <c r="B5" s="2" t="s">
        <v>43</v>
      </c>
      <c r="C5" s="13" t="s">
        <v>44</v>
      </c>
      <c r="D5" s="13" t="s">
        <v>45</v>
      </c>
      <c r="E5" s="13" t="s">
        <v>46</v>
      </c>
    </row>
    <row r="6" customFormat="false" ht="15" hidden="false" customHeight="false" outlineLevel="0" collapsed="false">
      <c r="A6" s="6" t="s">
        <v>47</v>
      </c>
      <c r="B6" s="2" t="s">
        <v>48</v>
      </c>
      <c r="C6" s="14" t="n">
        <v>45291</v>
      </c>
      <c r="D6" s="14" t="n">
        <v>45657</v>
      </c>
      <c r="E6" s="14" t="n">
        <v>46022</v>
      </c>
    </row>
    <row r="8" customFormat="false" ht="15" hidden="false" customHeight="false" outlineLevel="0" collapsed="false">
      <c r="A8" s="6" t="s">
        <v>49</v>
      </c>
      <c r="B8" s="7" t="s">
        <v>50</v>
      </c>
      <c r="C8" s="15" t="n">
        <v>32000</v>
      </c>
      <c r="D8" s="15" t="n">
        <v>36000</v>
      </c>
      <c r="E8" s="15" t="n">
        <v>38200</v>
      </c>
    </row>
    <row r="9" customFormat="false" ht="15" hidden="false" customHeight="false" outlineLevel="0" collapsed="false">
      <c r="A9" s="6" t="s">
        <v>51</v>
      </c>
      <c r="B9" s="7" t="s">
        <v>52</v>
      </c>
      <c r="C9" s="15" t="n">
        <v>15360</v>
      </c>
      <c r="D9" s="15" t="n">
        <v>17900</v>
      </c>
      <c r="E9" s="15" t="n">
        <v>19600</v>
      </c>
    </row>
    <row r="10" customFormat="false" ht="15" hidden="false" customHeight="false" outlineLevel="0" collapsed="false">
      <c r="A10" s="6" t="s">
        <v>53</v>
      </c>
      <c r="B10" s="2" t="s">
        <v>54</v>
      </c>
      <c r="C10" s="16" t="n">
        <f aca="false">C8-C9</f>
        <v>16640</v>
      </c>
      <c r="D10" s="16" t="n">
        <f aca="false">D8-D9</f>
        <v>18100</v>
      </c>
      <c r="E10" s="16" t="n">
        <f aca="false">E8-E9</f>
        <v>18600</v>
      </c>
    </row>
    <row r="11" customFormat="false" ht="15" hidden="false" customHeight="false" outlineLevel="0" collapsed="false">
      <c r="A11" s="6" t="s">
        <v>55</v>
      </c>
      <c r="B11" s="7" t="s">
        <v>56</v>
      </c>
      <c r="C11" s="15" t="n">
        <v>9000</v>
      </c>
      <c r="D11" s="15" t="n">
        <v>10800</v>
      </c>
      <c r="E11" s="15" t="n">
        <v>12100</v>
      </c>
    </row>
    <row r="12" customFormat="false" ht="15" hidden="false" customHeight="false" outlineLevel="0" collapsed="false">
      <c r="A12" s="6" t="s">
        <v>57</v>
      </c>
      <c r="B12" s="7" t="s">
        <v>58</v>
      </c>
      <c r="C12" s="15" t="n">
        <v>4400</v>
      </c>
      <c r="D12" s="15" t="n">
        <v>5000</v>
      </c>
      <c r="E12" s="15" t="n">
        <v>5600</v>
      </c>
    </row>
    <row r="13" customFormat="false" ht="15" hidden="false" customHeight="false" outlineLevel="0" collapsed="false">
      <c r="A13" s="6" t="s">
        <v>59</v>
      </c>
      <c r="B13" s="2" t="s">
        <v>60</v>
      </c>
      <c r="C13" s="16" t="n">
        <f aca="false">C11+C12</f>
        <v>13400</v>
      </c>
      <c r="D13" s="16" t="n">
        <f aca="false">D11+D12</f>
        <v>15800</v>
      </c>
      <c r="E13" s="16" t="n">
        <f aca="false">E11+E12</f>
        <v>17700</v>
      </c>
    </row>
    <row r="14" customFormat="false" ht="15" hidden="false" customHeight="false" outlineLevel="0" collapsed="false">
      <c r="A14" s="6" t="s">
        <v>61</v>
      </c>
      <c r="B14" s="7" t="s">
        <v>62</v>
      </c>
      <c r="C14" s="15" t="n">
        <v>0</v>
      </c>
      <c r="D14" s="15" t="n">
        <v>0</v>
      </c>
      <c r="E14" s="15" t="n">
        <v>0</v>
      </c>
    </row>
    <row r="15" customFormat="false" ht="15" hidden="false" customHeight="false" outlineLevel="0" collapsed="false">
      <c r="A15" s="6" t="s">
        <v>63</v>
      </c>
      <c r="B15" s="7" t="s">
        <v>64</v>
      </c>
      <c r="C15" s="15" t="n">
        <v>400</v>
      </c>
      <c r="D15" s="15" t="n">
        <v>450</v>
      </c>
      <c r="E15" s="15" t="n">
        <v>500</v>
      </c>
    </row>
    <row r="16" customFormat="false" ht="15" hidden="false" customHeight="false" outlineLevel="0" collapsed="false">
      <c r="A16" s="6" t="s">
        <v>65</v>
      </c>
      <c r="B16" s="2" t="s">
        <v>65</v>
      </c>
      <c r="C16" s="16" t="n">
        <f aca="false">C10-C13-C14-C15</f>
        <v>2840</v>
      </c>
      <c r="D16" s="16" t="n">
        <f aca="false">D10-D13-D14-D15</f>
        <v>1850</v>
      </c>
      <c r="E16" s="16" t="n">
        <f aca="false">E10-E13-E14-E15</f>
        <v>400</v>
      </c>
    </row>
    <row r="17" customFormat="false" ht="15" hidden="false" customHeight="false" outlineLevel="0" collapsed="false">
      <c r="A17" s="6" t="s">
        <v>66</v>
      </c>
      <c r="B17" s="7" t="s">
        <v>67</v>
      </c>
      <c r="C17" s="15" t="n">
        <v>700</v>
      </c>
      <c r="D17" s="15" t="n">
        <v>750</v>
      </c>
      <c r="E17" s="15" t="n">
        <v>800</v>
      </c>
    </row>
    <row r="18" customFormat="false" ht="15" hidden="false" customHeight="false" outlineLevel="0" collapsed="false">
      <c r="A18" s="6" t="s">
        <v>68</v>
      </c>
      <c r="B18" s="2" t="s">
        <v>69</v>
      </c>
      <c r="C18" s="16" t="n">
        <f aca="false">C16-C17</f>
        <v>2140</v>
      </c>
      <c r="D18" s="16" t="n">
        <f aca="false">D16-D17</f>
        <v>1100</v>
      </c>
      <c r="E18" s="16" t="n">
        <f aca="false">E16-E17</f>
        <v>-400</v>
      </c>
    </row>
    <row r="19" customFormat="false" ht="15" hidden="false" customHeight="false" outlineLevel="0" collapsed="false">
      <c r="A19" s="6" t="s">
        <v>70</v>
      </c>
      <c r="B19" s="7" t="s">
        <v>71</v>
      </c>
      <c r="C19" s="15" t="n">
        <v>500</v>
      </c>
      <c r="D19" s="15" t="n">
        <v>550</v>
      </c>
      <c r="E19" s="15" t="n">
        <v>620</v>
      </c>
    </row>
    <row r="20" customFormat="false" ht="15" hidden="false" customHeight="false" outlineLevel="0" collapsed="false">
      <c r="A20" s="6" t="s">
        <v>72</v>
      </c>
      <c r="B20" s="7" t="s">
        <v>73</v>
      </c>
      <c r="C20" s="15" t="n">
        <v>80</v>
      </c>
      <c r="D20" s="15" t="n">
        <v>70</v>
      </c>
      <c r="E20" s="15" t="n">
        <v>60</v>
      </c>
    </row>
    <row r="21" customFormat="false" ht="15" hidden="false" customHeight="false" outlineLevel="0" collapsed="false">
      <c r="A21" s="6" t="s">
        <v>74</v>
      </c>
      <c r="B21" s="2" t="s">
        <v>75</v>
      </c>
      <c r="C21" s="16" t="n">
        <f aca="false">C18-C19+C20</f>
        <v>1720</v>
      </c>
      <c r="D21" s="16" t="n">
        <f aca="false">D18-D19+D20</f>
        <v>620</v>
      </c>
      <c r="E21" s="16" t="n">
        <f aca="false">E18-E19+E20</f>
        <v>-960</v>
      </c>
    </row>
    <row r="22" customFormat="false" ht="15" hidden="false" customHeight="false" outlineLevel="0" collapsed="false">
      <c r="A22" s="6" t="s">
        <v>76</v>
      </c>
      <c r="B22" s="7" t="s">
        <v>77</v>
      </c>
      <c r="C22" s="15" t="n">
        <v>430</v>
      </c>
      <c r="D22" s="15" t="n">
        <v>155</v>
      </c>
      <c r="E22" s="15" t="n">
        <v>0</v>
      </c>
    </row>
    <row r="23" customFormat="false" ht="15" hidden="false" customHeight="false" outlineLevel="0" collapsed="false">
      <c r="A23" s="6" t="s">
        <v>78</v>
      </c>
      <c r="B23" s="2" t="s">
        <v>79</v>
      </c>
      <c r="C23" s="16" t="n">
        <f aca="false">C21-C22</f>
        <v>1290</v>
      </c>
      <c r="D23" s="16" t="n">
        <f aca="false">D21-D22</f>
        <v>465</v>
      </c>
      <c r="E23" s="16" t="n">
        <f aca="false">E21-E22</f>
        <v>-960</v>
      </c>
    </row>
    <row r="24" customFormat="false" ht="15" hidden="false" customHeight="false" outlineLevel="0" collapsed="false">
      <c r="A24" s="17"/>
      <c r="B24" s="17"/>
      <c r="C24" s="17"/>
      <c r="D24" s="17"/>
      <c r="E24" s="17"/>
    </row>
    <row r="26" customFormat="false" ht="15" hidden="false" customHeight="false" outlineLevel="0" collapsed="false">
      <c r="B26" s="2" t="s">
        <v>80</v>
      </c>
      <c r="C26" s="10" t="s">
        <v>81</v>
      </c>
    </row>
    <row r="27" customFormat="false" ht="15" hidden="false" customHeight="false" outlineLevel="0" collapsed="false">
      <c r="B27" s="2" t="s">
        <v>82</v>
      </c>
      <c r="C27" s="10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3"/>
    <col collapsed="false" customWidth="true" hidden="false" outlineLevel="0" max="4" min="4" style="0" width="18"/>
    <col collapsed="false" customWidth="true" hidden="false" outlineLevel="0" max="5" min="5" style="0" width="3"/>
    <col collapsed="false" customWidth="true" hidden="false" outlineLevel="0" max="6" min="6" style="0" width="12"/>
    <col collapsed="false" customWidth="true" hidden="false" outlineLevel="0" max="7" min="7" style="0" width="3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10" t="s">
        <v>85</v>
      </c>
    </row>
    <row r="4" customFormat="false" ht="15" hidden="false" customHeight="false" outlineLevel="0" collapsed="false">
      <c r="A4" s="11" t="s">
        <v>86</v>
      </c>
      <c r="B4" s="11" t="s">
        <v>87</v>
      </c>
      <c r="D4" s="11" t="s">
        <v>88</v>
      </c>
      <c r="F4" s="11" t="s">
        <v>24</v>
      </c>
      <c r="H4" s="11" t="s">
        <v>89</v>
      </c>
    </row>
    <row r="5" customFormat="false" ht="15" hidden="false" customHeight="false" outlineLevel="0" collapsed="false">
      <c r="A5" s="7" t="s">
        <v>90</v>
      </c>
      <c r="B5" s="7" t="s">
        <v>91</v>
      </c>
      <c r="D5" s="7" t="s">
        <v>92</v>
      </c>
      <c r="F5" s="7" t="s">
        <v>25</v>
      </c>
      <c r="H5" s="7" t="s">
        <v>93</v>
      </c>
    </row>
    <row r="6" customFormat="false" ht="15" hidden="false" customHeight="false" outlineLevel="0" collapsed="false">
      <c r="A6" s="7" t="s">
        <v>94</v>
      </c>
      <c r="B6" s="7" t="s">
        <v>95</v>
      </c>
      <c r="D6" s="7" t="s">
        <v>20</v>
      </c>
      <c r="H6" s="7" t="s">
        <v>28</v>
      </c>
    </row>
    <row r="7" customFormat="false" ht="15" hidden="false" customHeight="false" outlineLevel="0" collapsed="false">
      <c r="A7" s="7" t="s">
        <v>96</v>
      </c>
      <c r="B7" s="7" t="s">
        <v>97</v>
      </c>
      <c r="D7" s="7" t="s">
        <v>98</v>
      </c>
      <c r="H7" s="7" t="s">
        <v>99</v>
      </c>
    </row>
    <row r="8" customFormat="false" ht="15" hidden="false" customHeight="false" outlineLevel="0" collapsed="false">
      <c r="A8" s="7" t="s">
        <v>100</v>
      </c>
      <c r="B8" s="7" t="s">
        <v>101</v>
      </c>
      <c r="D8" s="7" t="s">
        <v>102</v>
      </c>
    </row>
    <row r="9" customFormat="false" ht="15" hidden="false" customHeight="false" outlineLevel="0" collapsed="false">
      <c r="A9" s="7" t="s">
        <v>103</v>
      </c>
      <c r="B9" s="7" t="s">
        <v>104</v>
      </c>
    </row>
    <row r="10" customFormat="false" ht="15" hidden="false" customHeight="false" outlineLevel="0" collapsed="false">
      <c r="A10" s="7" t="s">
        <v>105</v>
      </c>
      <c r="B10" s="7" t="s">
        <v>106</v>
      </c>
    </row>
    <row r="11" customFormat="false" ht="15" hidden="false" customHeight="false" outlineLevel="0" collapsed="false">
      <c r="A11" s="7" t="s">
        <v>107</v>
      </c>
      <c r="B11" s="7" t="s">
        <v>108</v>
      </c>
    </row>
    <row r="12" customFormat="false" ht="15" hidden="false" customHeight="false" outlineLevel="0" collapsed="false">
      <c r="A12" s="7" t="s">
        <v>109</v>
      </c>
      <c r="B12" s="7" t="s">
        <v>110</v>
      </c>
    </row>
    <row r="13" customFormat="false" ht="15" hidden="false" customHeight="false" outlineLevel="0" collapsed="false">
      <c r="A13" s="7" t="s">
        <v>17</v>
      </c>
      <c r="B13" s="7" t="s">
        <v>111</v>
      </c>
    </row>
    <row r="14" customFormat="false" ht="15" hidden="false" customHeight="false" outlineLevel="0" collapsed="false">
      <c r="A14" s="7" t="s">
        <v>112</v>
      </c>
      <c r="B14" s="7" t="s">
        <v>113</v>
      </c>
    </row>
    <row r="17" customFormat="false" ht="15" hidden="false" customHeight="false" outlineLevel="0" collapsed="false">
      <c r="A17" s="2" t="s">
        <v>114</v>
      </c>
      <c r="B17" s="10" t="s">
        <v>115</v>
      </c>
    </row>
    <row r="18" customFormat="false" ht="15" hidden="false" customHeight="false" outlineLevel="0" collapsed="false">
      <c r="A18" s="2" t="s">
        <v>114</v>
      </c>
      <c r="B18" s="10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2026-09-01T20:50:04Z</dcterms:created>
  <dc:creator>openpyxl</dc:creator>
  <dc:description/>
  <dc:language>en-US</dc:language>
  <cp:lastModifiedBy/>
  <dcterms:modified xsi:type="dcterms:W3CDTF">2026-09-01T20:50:04Z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